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<sst xmlns="http://schemas.openxmlformats.org/spreadsheetml/2006/main" count="22" uniqueCount="21">
  <si>
    <t xml:space="preserve">Renovation Budget &amp; ROI Worksheet</t>
  </si>
  <si>
    <t xml:space="preserve">returnonreno.com  ·  Plan costs, compare quotes, and track how much you get back at resale.</t>
  </si>
  <si>
    <t xml:space="preserve">Tip: enter your own quotes in the blue cells. Net cost and ROI calculate automatically. Cost estimates are planning figures — always confirm with local contractors.</t>
  </si>
  <si>
    <t xml:space="preserve">Project / item</t>
  </si>
  <si>
    <t xml:space="preserve">Quote 1</t>
  </si>
  <si>
    <t xml:space="preserve">Quote 2</t>
  </si>
  <si>
    <t xml:space="preserve">Quote 3</t>
  </si>
  <si>
    <t xml:space="preserve">Chosen cost</t>
  </si>
  <si>
    <t xml:space="preserve">Resale value added</t>
  </si>
  <si>
    <t xml:space="preserve">Net cost</t>
  </si>
  <si>
    <t xml:space="preserve">Cost recouped</t>
  </si>
  <si>
    <t xml:space="preserve">Notes</t>
  </si>
  <si>
    <t xml:space="preserve">Minor kitchen remodel</t>
  </si>
  <si>
    <t xml:space="preserve">Example — overwrite with your own</t>
  </si>
  <si>
    <t xml:space="preserve">Garage door replacement</t>
  </si>
  <si>
    <t xml:space="preserve">TOTALS</t>
  </si>
  <si>
    <t xml:space="preserve">Summary</t>
  </si>
  <si>
    <t xml:space="preserve">Total project cost</t>
  </si>
  <si>
    <t xml:space="preserve">Total resale value added</t>
  </si>
  <si>
    <t xml:space="preserve">Net cost after resale</t>
  </si>
  <si>
    <t xml:space="preserve">Overall cost recouped (ROI)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</si>
</sst>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3241F"/>
      <name val="Arial"/>
      <family val="0"/>
      <charset val="1"/>
    </font>
    <font>
      <sz val="10"/>
      <color rgb="FF5C6B66"/>
      <name val="Arial"/>
      <family val="0"/>
      <charset val="1"/>
    </font>
    <font>
      <i val="true"/>
      <sz val="9"/>
      <color rgb="FF5C6B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13241F"/>
      <name val="Arial"/>
      <family val="0"/>
      <charset val="1"/>
    </font>
    <font>
      <sz val="9"/>
      <color rgb="FF5C6B66"/>
      <name val="Arial"/>
      <family val="0"/>
      <charset val="1"/>
    </font>
    <font>
      <b val="true"/>
      <sz val="10"/>
      <color rgb="FF13241F"/>
      <name val="Arial"/>
      <family val="0"/>
      <charset val="1"/>
    </font>
    <font>
      <b val="true"/>
      <sz val="12"/>
      <color rgb="FF0F8A6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8A6A"/>
        <bgColor rgb="FF008080"/>
      </patternFill>
    </fill>
    <fill>
      <patternFill patternType="solid">
        <fgColor rgb="FFE6F4EF"/>
        <bgColor rgb="FFD9E2D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DE"/>
      </left>
      <right style="thin">
        <color rgb="FFD9E2DE"/>
      </right>
      <top style="thin">
        <color rgb="FFD9E2DE"/>
      </top>
      <bottom style="thin">
        <color rgb="FFD9E2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8A6A"/>
      <rgbColor rgb="FFC0C0C0"/>
      <rgbColor rgb="FF808080"/>
      <rgbColor rgb="FF9999FF"/>
      <rgbColor rgb="FF993366"/>
      <rgbColor rgb="FFFFFFCC"/>
      <rgbColor rgb="FFE6F4EF"/>
      <rgbColor rgb="FF660066"/>
      <rgbColor rgb="FFFF8080"/>
      <rgbColor rgb="FF0066CC"/>
      <rgbColor rgb="FFD9E2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66"/>
      <rgbColor rgb="FF969696"/>
      <rgbColor rgb="FF003366"/>
      <rgbColor rgb="FF339966"/>
      <rgbColor rgb="FF13241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2"/>
    <col collapsed="false" customWidth="true" hidden="false" outlineLevel="0" max="5" min="5" style="0" width="13"/>
    <col collapsed="false" customWidth="true" hidden="false" outlineLevel="0" max="6" min="6" style="0" width="16"/>
    <col collapsed="false" customWidth="true" hidden="false" outlineLevel="0" max="8" min="7" style="0" width="13"/>
    <col collapsed="false" customWidth="true" hidden="false" outlineLevel="0" max="9" min="9" style="0" width="3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15" hidden="false" customHeight="false" outlineLevel="0" collapsed="false">
      <c r="A6" s="5" t="s">
        <v>12</v>
      </c>
      <c r="B6" s="6" t="n">
        <v>26000</v>
      </c>
      <c r="C6" s="6" t="n">
        <v>27500</v>
      </c>
      <c r="D6" s="6" t="n">
        <v>28000</v>
      </c>
      <c r="E6" s="6" t="n">
        <v>27000</v>
      </c>
      <c r="F6" s="6" t="n">
        <v>23000</v>
      </c>
      <c r="G6" s="7" t="n">
        <f aca="false">IF(E6="","",E6-F6)</f>
        <v>4000</v>
      </c>
      <c r="H6" s="8" t="n">
        <f aca="false">IF(OR(E6="",E6=0),"",F6/E6)</f>
        <v>0.851851851851852</v>
      </c>
      <c r="I6" s="9" t="s">
        <v>13</v>
      </c>
    </row>
    <row r="7" customFormat="false" ht="15" hidden="false" customHeight="false" outlineLevel="0" collapsed="false">
      <c r="A7" s="5" t="s">
        <v>14</v>
      </c>
      <c r="B7" s="6" t="n">
        <v>4200</v>
      </c>
      <c r="C7" s="6" t="n">
        <v>4600</v>
      </c>
      <c r="D7" s="6" t="n">
        <v>4500</v>
      </c>
      <c r="E7" s="6" t="n">
        <v>4500</v>
      </c>
      <c r="F7" s="6" t="n">
        <v>7200</v>
      </c>
      <c r="G7" s="7" t="n">
        <f aca="false">IF(E7="","",E7-F7)</f>
        <v>-2700</v>
      </c>
      <c r="H7" s="8" t="n">
        <f aca="false">IF(OR(E7="",E7=0),"",F7/E7)</f>
        <v>1.6</v>
      </c>
      <c r="I7" s="9" t="s">
        <v>13</v>
      </c>
    </row>
    <row r="8" customFormat="false" ht="15" hidden="false" customHeight="false" outlineLevel="0" collapsed="false">
      <c r="A8" s="5"/>
      <c r="B8" s="6"/>
      <c r="C8" s="6"/>
      <c r="D8" s="6"/>
      <c r="E8" s="6"/>
      <c r="F8" s="6"/>
      <c r="G8" s="7" t="str">
        <f aca="false">IF(E8="","",E8-F8)</f>
        <v/>
      </c>
      <c r="H8" s="8" t="str">
        <f aca="false">IF(OR(E8="",E8=0),"",F8/E8)</f>
        <v/>
      </c>
      <c r="I8" s="9"/>
    </row>
    <row r="9" customFormat="false" ht="15" hidden="false" customHeight="false" outlineLevel="0" collapsed="false">
      <c r="A9" s="5"/>
      <c r="B9" s="6"/>
      <c r="C9" s="6"/>
      <c r="D9" s="6"/>
      <c r="E9" s="6"/>
      <c r="F9" s="6"/>
      <c r="G9" s="7" t="str">
        <f aca="false">IF(E9="","",E9-F9)</f>
        <v/>
      </c>
      <c r="H9" s="8" t="str">
        <f aca="false">IF(OR(E9="",E9=0),"",F9/E9)</f>
        <v/>
      </c>
      <c r="I9" s="9"/>
    </row>
    <row r="10" customFormat="false" ht="15" hidden="false" customHeight="false" outlineLevel="0" collapsed="false">
      <c r="A10" s="5"/>
      <c r="B10" s="6"/>
      <c r="C10" s="6"/>
      <c r="D10" s="6"/>
      <c r="E10" s="6"/>
      <c r="F10" s="6"/>
      <c r="G10" s="7" t="str">
        <f aca="false">IF(E10="","",E10-F10)</f>
        <v/>
      </c>
      <c r="H10" s="8" t="str">
        <f aca="false">IF(OR(E10="",E10=0),"",F10/E10)</f>
        <v/>
      </c>
      <c r="I10" s="9"/>
    </row>
    <row r="11" customFormat="false" ht="15" hidden="false" customHeight="false" outlineLevel="0" collapsed="false">
      <c r="A11" s="5"/>
      <c r="B11" s="6"/>
      <c r="C11" s="6"/>
      <c r="D11" s="6"/>
      <c r="E11" s="6"/>
      <c r="F11" s="6"/>
      <c r="G11" s="7" t="str">
        <f aca="false">IF(E11="","",E11-F11)</f>
        <v/>
      </c>
      <c r="H11" s="8" t="str">
        <f aca="false">IF(OR(E11="",E11=0),"",F11/E11)</f>
        <v/>
      </c>
      <c r="I11" s="9"/>
    </row>
    <row r="12" customFormat="false" ht="15" hidden="false" customHeight="false" outlineLevel="0" collapsed="false">
      <c r="A12" s="5"/>
      <c r="B12" s="6"/>
      <c r="C12" s="6"/>
      <c r="D12" s="6"/>
      <c r="E12" s="6"/>
      <c r="F12" s="6"/>
      <c r="G12" s="7" t="str">
        <f aca="false">IF(E12="","",E12-F12)</f>
        <v/>
      </c>
      <c r="H12" s="8" t="str">
        <f aca="false">IF(OR(E12="",E12=0),"",F12/E12)</f>
        <v/>
      </c>
      <c r="I12" s="9"/>
    </row>
    <row r="13" customFormat="false" ht="15" hidden="false" customHeight="false" outlineLevel="0" collapsed="false">
      <c r="A13" s="5"/>
      <c r="B13" s="6"/>
      <c r="C13" s="6"/>
      <c r="D13" s="6"/>
      <c r="E13" s="6"/>
      <c r="F13" s="6"/>
      <c r="G13" s="7" t="str">
        <f aca="false">IF(E13="","",E13-F13)</f>
        <v/>
      </c>
      <c r="H13" s="8" t="str">
        <f aca="false">IF(OR(E13="",E13=0),"",F13/E13)</f>
        <v/>
      </c>
      <c r="I13" s="9"/>
    </row>
    <row r="14" customFormat="false" ht="15" hidden="false" customHeight="false" outlineLevel="0" collapsed="false">
      <c r="A14" s="5"/>
      <c r="B14" s="6"/>
      <c r="C14" s="6"/>
      <c r="D14" s="6"/>
      <c r="E14" s="6"/>
      <c r="F14" s="6"/>
      <c r="G14" s="7" t="str">
        <f aca="false">IF(E14="","",E14-F14)</f>
        <v/>
      </c>
      <c r="H14" s="8" t="str">
        <f aca="false">IF(OR(E14="",E14=0),"",F14/E14)</f>
        <v/>
      </c>
      <c r="I14" s="9"/>
    </row>
    <row r="15" customFormat="false" ht="15" hidden="false" customHeight="false" outlineLevel="0" collapsed="false">
      <c r="A15" s="5"/>
      <c r="B15" s="6"/>
      <c r="C15" s="6"/>
      <c r="D15" s="6"/>
      <c r="E15" s="6"/>
      <c r="F15" s="6"/>
      <c r="G15" s="7" t="str">
        <f aca="false">IF(E15="","",E15-F15)</f>
        <v/>
      </c>
      <c r="H15" s="8" t="str">
        <f aca="false">IF(OR(E15="",E15=0),"",F15/E15)</f>
        <v/>
      </c>
      <c r="I15" s="9"/>
    </row>
    <row r="16" customFormat="false" ht="15" hidden="false" customHeight="false" outlineLevel="0" collapsed="false">
      <c r="A16" s="5"/>
      <c r="B16" s="6"/>
      <c r="C16" s="6"/>
      <c r="D16" s="6"/>
      <c r="E16" s="6"/>
      <c r="F16" s="6"/>
      <c r="G16" s="7" t="str">
        <f aca="false">IF(E16="","",E16-F16)</f>
        <v/>
      </c>
      <c r="H16" s="8" t="str">
        <f aca="false">IF(OR(E16="",E16=0),"",F16/E16)</f>
        <v/>
      </c>
      <c r="I16" s="9"/>
    </row>
    <row r="17" customFormat="false" ht="15" hidden="false" customHeight="false" outlineLevel="0" collapsed="false">
      <c r="A17" s="5"/>
      <c r="B17" s="6"/>
      <c r="C17" s="6"/>
      <c r="D17" s="6"/>
      <c r="E17" s="6"/>
      <c r="F17" s="6"/>
      <c r="G17" s="7" t="str">
        <f aca="false">IF(E17="","",E17-F17)</f>
        <v/>
      </c>
      <c r="H17" s="8" t="str">
        <f aca="false">IF(OR(E17="",E17=0),"",F17/E17)</f>
        <v/>
      </c>
      <c r="I17" s="9"/>
    </row>
    <row r="18" customFormat="false" ht="15" hidden="false" customHeight="false" outlineLevel="0" collapsed="false">
      <c r="A18" s="5"/>
      <c r="B18" s="6"/>
      <c r="C18" s="6"/>
      <c r="D18" s="6"/>
      <c r="E18" s="6"/>
      <c r="F18" s="6"/>
      <c r="G18" s="7" t="str">
        <f aca="false">IF(E18="","",E18-F18)</f>
        <v/>
      </c>
      <c r="H18" s="8" t="str">
        <f aca="false">IF(OR(E18="",E18=0),"",F18/E18)</f>
        <v/>
      </c>
      <c r="I18" s="9"/>
    </row>
    <row r="19" customFormat="false" ht="15" hidden="false" customHeight="false" outlineLevel="0" collapsed="false">
      <c r="A19" s="5"/>
      <c r="B19" s="6"/>
      <c r="C19" s="6"/>
      <c r="D19" s="6"/>
      <c r="E19" s="6"/>
      <c r="F19" s="6"/>
      <c r="G19" s="7" t="str">
        <f aca="false">IF(E19="","",E19-F19)</f>
        <v/>
      </c>
      <c r="H19" s="8" t="str">
        <f aca="false">IF(OR(E19="",E19=0),"",F19/E19)</f>
        <v/>
      </c>
      <c r="I19" s="9"/>
    </row>
    <row r="20" customFormat="false" ht="15" hidden="false" customHeight="false" outlineLevel="0" collapsed="false">
      <c r="A20" s="5"/>
      <c r="B20" s="6"/>
      <c r="C20" s="6"/>
      <c r="D20" s="6"/>
      <c r="E20" s="6"/>
      <c r="F20" s="6"/>
      <c r="G20" s="7" t="str">
        <f aca="false">IF(E20="","",E20-F20)</f>
        <v/>
      </c>
      <c r="H20" s="8" t="str">
        <f aca="false">IF(OR(E20="",E20=0),"",F20/E20)</f>
        <v/>
      </c>
      <c r="I20" s="9"/>
    </row>
    <row r="21" customFormat="false" ht="15" hidden="false" customHeight="false" outlineLevel="0" collapsed="false">
      <c r="A21" s="5"/>
      <c r="B21" s="6"/>
      <c r="C21" s="6"/>
      <c r="D21" s="6"/>
      <c r="E21" s="6"/>
      <c r="F21" s="6"/>
      <c r="G21" s="7" t="str">
        <f aca="false">IF(E21="","",E21-F21)</f>
        <v/>
      </c>
      <c r="H21" s="8" t="str">
        <f aca="false">IF(OR(E21="",E21=0),"",F21/E21)</f>
        <v/>
      </c>
      <c r="I21" s="9"/>
    </row>
    <row r="22" customFormat="false" ht="15" hidden="false" customHeight="false" outlineLevel="0" collapsed="false">
      <c r="A22" s="5"/>
      <c r="B22" s="6"/>
      <c r="C22" s="6"/>
      <c r="D22" s="6"/>
      <c r="E22" s="6"/>
      <c r="F22" s="6"/>
      <c r="G22" s="7" t="str">
        <f aca="false">IF(E22="","",E22-F22)</f>
        <v/>
      </c>
      <c r="H22" s="8" t="str">
        <f aca="false">IF(OR(E22="",E22=0),"",F22/E22)</f>
        <v/>
      </c>
      <c r="I22" s="9"/>
    </row>
    <row r="23" customFormat="false" ht="15" hidden="false" customHeight="false" outlineLevel="0" collapsed="false">
      <c r="A23" s="5"/>
      <c r="B23" s="6"/>
      <c r="C23" s="6"/>
      <c r="D23" s="6"/>
      <c r="E23" s="6"/>
      <c r="F23" s="6"/>
      <c r="G23" s="7" t="str">
        <f aca="false">IF(E23="","",E23-F23)</f>
        <v/>
      </c>
      <c r="H23" s="8" t="str">
        <f aca="false">IF(OR(E23="",E23=0),"",F23/E23)</f>
        <v/>
      </c>
      <c r="I23" s="9"/>
    </row>
    <row r="24" customFormat="false" ht="15" hidden="false" customHeight="false" outlineLevel="0" collapsed="false">
      <c r="A24" s="5"/>
      <c r="B24" s="6"/>
      <c r="C24" s="6"/>
      <c r="D24" s="6"/>
      <c r="E24" s="6"/>
      <c r="F24" s="6"/>
      <c r="G24" s="7" t="str">
        <f aca="false">IF(E24="","",E24-F24)</f>
        <v/>
      </c>
      <c r="H24" s="8" t="str">
        <f aca="false">IF(OR(E24="",E24=0),"",F24/E24)</f>
        <v/>
      </c>
      <c r="I24" s="9"/>
    </row>
    <row r="25" customFormat="false" ht="15" hidden="false" customHeight="false" outlineLevel="0" collapsed="false">
      <c r="A25" s="5"/>
      <c r="B25" s="6"/>
      <c r="C25" s="6"/>
      <c r="D25" s="6"/>
      <c r="E25" s="6"/>
      <c r="F25" s="6"/>
      <c r="G25" s="7" t="str">
        <f aca="false">IF(E25="","",E25-F25)</f>
        <v/>
      </c>
      <c r="H25" s="8" t="str">
        <f aca="false">IF(OR(E25="",E25=0),"",F25/E25)</f>
        <v/>
      </c>
      <c r="I25" s="9"/>
    </row>
    <row r="26" customFormat="false" ht="15" hidden="false" customHeight="false" outlineLevel="0" collapsed="false">
      <c r="A26" s="5"/>
      <c r="B26" s="6"/>
      <c r="C26" s="6"/>
      <c r="D26" s="6"/>
      <c r="E26" s="6"/>
      <c r="F26" s="6"/>
      <c r="G26" s="7" t="str">
        <f aca="false">IF(E26="","",E26-F26)</f>
        <v/>
      </c>
      <c r="H26" s="8" t="str">
        <f aca="false">IF(OR(E26="",E26=0),"",F26/E26)</f>
        <v/>
      </c>
      <c r="I26" s="9"/>
    </row>
    <row r="27" customFormat="false" ht="15" hidden="false" customHeight="false" outlineLevel="0" collapsed="false">
      <c r="A27" s="5"/>
      <c r="B27" s="6"/>
      <c r="C27" s="6"/>
      <c r="D27" s="6"/>
      <c r="E27" s="6"/>
      <c r="F27" s="6"/>
      <c r="G27" s="7" t="str">
        <f aca="false">IF(E27="","",E27-F27)</f>
        <v/>
      </c>
      <c r="H27" s="8" t="str">
        <f aca="false">IF(OR(E27="",E27=0),"",F27/E27)</f>
        <v/>
      </c>
      <c r="I27" s="9"/>
    </row>
    <row r="28" customFormat="false" ht="15" hidden="false" customHeight="false" outlineLevel="0" collapsed="false">
      <c r="A28" s="5"/>
      <c r="B28" s="6"/>
      <c r="C28" s="6"/>
      <c r="D28" s="6"/>
      <c r="E28" s="6"/>
      <c r="F28" s="6"/>
      <c r="G28" s="7" t="str">
        <f aca="false">IF(E28="","",E28-F28)</f>
        <v/>
      </c>
      <c r="H28" s="8" t="str">
        <f aca="false">IF(OR(E28="",E28=0),"",F28/E28)</f>
        <v/>
      </c>
      <c r="I28" s="9"/>
    </row>
    <row r="29" customFormat="false" ht="15" hidden="false" customHeight="false" outlineLevel="0" collapsed="false">
      <c r="A29" s="5"/>
      <c r="B29" s="6"/>
      <c r="C29" s="6"/>
      <c r="D29" s="6"/>
      <c r="E29" s="6"/>
      <c r="F29" s="6"/>
      <c r="G29" s="7" t="str">
        <f aca="false">IF(E29="","",E29-F29)</f>
        <v/>
      </c>
      <c r="H29" s="8" t="str">
        <f aca="false">IF(OR(E29="",E29=0),"",F29/E29)</f>
        <v/>
      </c>
      <c r="I29" s="9"/>
    </row>
    <row r="30" customFormat="false" ht="15" hidden="false" customHeight="false" outlineLevel="0" collapsed="false">
      <c r="A30" s="5"/>
      <c r="B30" s="6"/>
      <c r="C30" s="6"/>
      <c r="D30" s="6"/>
      <c r="E30" s="6"/>
      <c r="F30" s="6"/>
      <c r="G30" s="7" t="str">
        <f aca="false">IF(E30="","",E30-F30)</f>
        <v/>
      </c>
      <c r="H30" s="8" t="str">
        <f aca="false">IF(OR(E30="",E30=0),"",F30/E30)</f>
        <v/>
      </c>
      <c r="I30" s="9"/>
    </row>
    <row r="31" customFormat="false" ht="15" hidden="false" customHeight="false" outlineLevel="0" collapsed="false">
      <c r="A31" s="10" t="s">
        <v>15</v>
      </c>
      <c r="B31" s="11"/>
      <c r="C31" s="11"/>
      <c r="D31" s="11"/>
      <c r="E31" s="12" t="n">
        <f aca="false">SUM(E6:E30)</f>
        <v>31500</v>
      </c>
      <c r="F31" s="12" t="n">
        <f aca="false">SUM(F6:F30)</f>
        <v>30200</v>
      </c>
      <c r="G31" s="12" t="n">
        <f aca="false">SUM(G6:G30)</f>
        <v>1300</v>
      </c>
      <c r="H31" s="13" t="n">
        <f aca="false">IF(E31=0,"",F31/E31)</f>
        <v>0.958730158730159</v>
      </c>
      <c r="I31" s="11"/>
    </row>
    <row r="34" customFormat="false" ht="15" hidden="false" customHeight="false" outlineLevel="0" collapsed="false">
      <c r="A34" s="14" t="s">
        <v>16</v>
      </c>
    </row>
    <row r="35" customFormat="false" ht="15" hidden="false" customHeight="false" outlineLevel="0" collapsed="false">
      <c r="A35" s="15" t="s">
        <v>17</v>
      </c>
      <c r="E35" s="16" t="n">
        <f aca="false">E31</f>
        <v>31500</v>
      </c>
    </row>
    <row r="36" customFormat="false" ht="15" hidden="false" customHeight="false" outlineLevel="0" collapsed="false">
      <c r="A36" s="15" t="s">
        <v>18</v>
      </c>
      <c r="E36" s="16" t="n">
        <f aca="false">F31</f>
        <v>30200</v>
      </c>
    </row>
    <row r="37" customFormat="false" ht="15" hidden="false" customHeight="false" outlineLevel="0" collapsed="false">
      <c r="A37" s="15" t="s">
        <v>19</v>
      </c>
      <c r="E37" s="16" t="n">
        <f aca="false">G31</f>
        <v>1300</v>
      </c>
    </row>
    <row r="38" customFormat="false" ht="15" hidden="false" customHeight="false" outlineLevel="0" collapsed="false">
      <c r="A38" s="15" t="s">
        <v>20</v>
      </c>
      <c r="E38" s="17" t="n">
        <f aca="false">IF(E31=0,"",F31/E31)</f>
        <v>0.958730158730159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2026-06-24T21:49:01Z</dcterms:created>
  <dc:creator>openpyxl</dc:creator>
  <dc:description/>
  <dc:language>en-US</dc:language>
  <cp:lastModifiedBy/>
  <dcterms:modified xsi:type="dcterms:W3CDTF">2026-06-24T21:49:01Z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